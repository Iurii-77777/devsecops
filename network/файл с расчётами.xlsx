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7" i="1"/>
  <c r="C21" i="1"/>
  <c r="C25" i="1"/>
  <c r="C9" i="1"/>
</calcChain>
</file>

<file path=xl/sharedStrings.xml><?xml version="1.0" encoding="utf-8"?>
<sst xmlns="http://schemas.openxmlformats.org/spreadsheetml/2006/main" count="57" uniqueCount="44">
  <si>
    <t>Головной офис:</t>
  </si>
  <si>
    <t>Ближайшая степень двойки: 2^13 = 8192, маска /19 (255.255.224.0).</t>
  </si>
  <si>
    <t>Филиал 1:</t>
  </si>
  <si>
    <t>2^8 = 256, маска /24 (255.255.255.0).</t>
  </si>
  <si>
    <t>Филиал 2:</t>
  </si>
  <si>
    <t>2^9 = 512, маска /23 (255.255.254.0).</t>
  </si>
  <si>
    <t>Филиал 3:</t>
  </si>
  <si>
    <t>2^4 = 16, маска /28 (255.255.255.240).</t>
  </si>
  <si>
    <t>Филиал 4:</t>
  </si>
  <si>
    <t>1. Расчет подсетей для офисов (с учетом резерва 10%)</t>
  </si>
  <si>
    <t>Для определения размера подсети используется формула: N = (количество хостов + 10%).</t>
  </si>
  <si>
    <t>Размер подсети округляется до степени двойки минус 2 (адрес сети и broadcast).</t>
  </si>
  <si>
    <t>2. Расчет подсетей для P2P каналов</t>
  </si>
  <si>
    <t>Для P2P требуется 2 IP адреса.</t>
  </si>
  <si>
    <t>Используем маску /30 (255.255.255.252). Дает 4 адреса, 2 из которых используются.</t>
  </si>
  <si>
    <t>3. План адресации (в порядке убывания размера)</t>
  </si>
  <si>
    <t>Мы начнем выделять подсети с самого крупного сегмента, чтобы избежать фрагментации и эффективно использовать пространство сети /17.</t>
  </si>
  <si>
    <t>1. Головной офис: 120.32.128.0/19 (маска 255.255.224.0)</t>
  </si>
  <si>
    <t>   · Диапазон: 120.32.128.0 — 120.32.159.255</t>
  </si>
  <si>
    <t>   · Шлюз (последний доступный): 120.32.159.254</t>
  </si>
  <si>
    <t>2. Филиал 2: /23. Начинаем со следующей сети после HQ.</t>
  </si>
  <si>
    <t>   · Сеть: 120.32.160.0/23 (маска 255.255.254.0)</t>
  </si>
  <si>
    <t>   · Диапазон: 120.32.160.0 — 120.32.161.255</t>
  </si>
  <si>
    <t>   · Шлюз: 120.32.161.254</t>
  </si>
  <si>
    <t>3. Филиал 1: /24. (После сети Филиала 2)</t>
  </si>
  <si>
    <t>   · Сеть: 120.32.162.0/24 (маска 255.255.255.0)</t>
  </si>
  <si>
    <t>   · Диапазон: 120.32.162.0 — 120.32.162.255</t>
  </si>
  <si>
    <t>   · Шлюз: 120.32.162.254</t>
  </si>
  <si>
    <t>4. Филиал 4: /24. (Следующая /24)</t>
  </si>
  <si>
    <t>   · Сеть: 120.32.163.0/24 (маска 255.255.255.0)</t>
  </si>
  <si>
    <t>   · Диапазон: 120.32.163.0 — 120.32.163.255</t>
  </si>
  <si>
    <t>   · Шлюз: 120.32.163.254</t>
  </si>
  <si>
    <t>5. Филиал 3: /28. (Следующая сеть)</t>
  </si>
  <si>
    <t>   · Сеть: 120.32.164.0/28 (маска 255.255.255.240)</t>
  </si>
  <si>
    <t>   · Диапазон: 120.32.164.0 — 120.32.164.15</t>
  </si>
  <si>
    <t>   · Шлюз: 120.32.164.14</t>
  </si>
  <si>
    <t>6. P2P Каналы (4 шт): /30.</t>
  </si>
  <si>
    <t>   · P2P 1 (HQ — Фил.1): 120.32.164.16/30 (маска 255.255.255.252)</t>
  </si>
  <si>
    <t>проценты</t>
  </si>
  <si>
    <t>итоги</t>
  </si>
  <si>
    <t>итоги с округлением</t>
  </si>
  <si>
    <t>   · P2P 2 (HQ — Фил.2): 120.32.164.20/30  (маска 255.255.255.252)</t>
  </si>
  <si>
    <t>   · P2P 3 (HQ — Фил.3): 120.32.164.24/30  (маска 255.255.255.252)</t>
  </si>
  <si>
    <t>   · P2P 4 (HQ — Фил.4): 120.32.164.28/30  (маска 255.255.255.252)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</si>
</sst>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/>
  </sheetViews>
  <sheetFormatPr defaultRowHeight="14.5" x14ac:dyDescent="0.35"/>
  <cols>
    <col min="1" max="1" width="59.81640625" bestFit="1" customWidth="1"/>
    <col min="4" max="4" width="18.81640625" style="2" bestFit="1" customWidth="1"/>
  </cols>
  <sheetData>
    <row r="1" spans="1:4" x14ac:dyDescent="0.35">
      <c r="A1" s="3" t="s">
        <v>9</v>
      </c>
    </row>
    <row r="3" spans="1:4" x14ac:dyDescent="0.35">
      <c r="A3" t="s">
        <v>10</v>
      </c>
    </row>
    <row r="4" spans="1:4" x14ac:dyDescent="0.35">
      <c r="A4" t="s">
        <v>11</v>
      </c>
    </row>
    <row r="8" spans="1:4" x14ac:dyDescent="0.35">
      <c r="A8" s="4" t="s">
        <v>0</v>
      </c>
      <c r="B8" s="4" t="s">
        <v>38</v>
      </c>
      <c r="C8" s="4" t="s">
        <v>39</v>
      </c>
      <c r="D8" s="4" t="s">
        <v>40</v>
      </c>
    </row>
    <row r="9" spans="1:4" x14ac:dyDescent="0.35">
      <c r="A9" s="4">
        <v>5821</v>
      </c>
      <c r="B9" s="5">
        <v>1.1000000000000001</v>
      </c>
      <c r="C9" s="6">
        <f>A9*B9</f>
        <v>6403.1</v>
      </c>
      <c r="D9" s="4">
        <v>6404</v>
      </c>
    </row>
    <row r="10" spans="1:4" x14ac:dyDescent="0.35">
      <c r="A10" t="s">
        <v>1</v>
      </c>
      <c r="B10" s="1"/>
    </row>
    <row r="11" spans="1:4" x14ac:dyDescent="0.35">
      <c r="B11" s="1"/>
    </row>
    <row r="12" spans="1:4" x14ac:dyDescent="0.35">
      <c r="A12" s="4" t="s">
        <v>2</v>
      </c>
      <c r="B12" s="4" t="s">
        <v>38</v>
      </c>
      <c r="C12" s="4" t="s">
        <v>39</v>
      </c>
      <c r="D12" s="4" t="s">
        <v>40</v>
      </c>
    </row>
    <row r="13" spans="1:4" x14ac:dyDescent="0.35">
      <c r="A13" s="4">
        <v>121</v>
      </c>
      <c r="B13" s="5">
        <v>1.1000000000000001</v>
      </c>
      <c r="C13" s="6">
        <f t="shared" ref="C10:C25" si="0">A13*B13</f>
        <v>133.10000000000002</v>
      </c>
      <c r="D13" s="4">
        <v>134</v>
      </c>
    </row>
    <row r="14" spans="1:4" x14ac:dyDescent="0.35">
      <c r="A14" t="s">
        <v>3</v>
      </c>
      <c r="B14" s="1"/>
    </row>
    <row r="15" spans="1:4" x14ac:dyDescent="0.35">
      <c r="B15" s="1"/>
    </row>
    <row r="16" spans="1:4" x14ac:dyDescent="0.35">
      <c r="A16" s="4" t="s">
        <v>4</v>
      </c>
      <c r="B16" s="4" t="s">
        <v>38</v>
      </c>
      <c r="C16" s="4" t="s">
        <v>39</v>
      </c>
      <c r="D16" s="4" t="s">
        <v>40</v>
      </c>
    </row>
    <row r="17" spans="1:4" x14ac:dyDescent="0.35">
      <c r="A17" s="4">
        <v>442</v>
      </c>
      <c r="B17" s="5">
        <v>1.1000000000000001</v>
      </c>
      <c r="C17" s="6">
        <f t="shared" si="0"/>
        <v>486.20000000000005</v>
      </c>
      <c r="D17" s="4">
        <v>487</v>
      </c>
    </row>
    <row r="18" spans="1:4" x14ac:dyDescent="0.35">
      <c r="A18" t="s">
        <v>5</v>
      </c>
      <c r="B18" s="1"/>
    </row>
    <row r="19" spans="1:4" x14ac:dyDescent="0.35">
      <c r="B19" s="1"/>
    </row>
    <row r="20" spans="1:4" x14ac:dyDescent="0.35">
      <c r="A20" s="4" t="s">
        <v>6</v>
      </c>
      <c r="B20" s="4" t="s">
        <v>38</v>
      </c>
      <c r="C20" s="4" t="s">
        <v>39</v>
      </c>
      <c r="D20" s="4" t="s">
        <v>40</v>
      </c>
    </row>
    <row r="21" spans="1:4" x14ac:dyDescent="0.35">
      <c r="A21" s="4">
        <v>12</v>
      </c>
      <c r="B21" s="5">
        <v>1.1000000000000001</v>
      </c>
      <c r="C21" s="6">
        <f t="shared" si="0"/>
        <v>13.200000000000001</v>
      </c>
      <c r="D21" s="4">
        <v>14</v>
      </c>
    </row>
    <row r="22" spans="1:4" x14ac:dyDescent="0.35">
      <c r="A22" t="s">
        <v>7</v>
      </c>
      <c r="B22" s="1"/>
    </row>
    <row r="23" spans="1:4" x14ac:dyDescent="0.35">
      <c r="B23" s="1"/>
    </row>
    <row r="24" spans="1:4" x14ac:dyDescent="0.35">
      <c r="A24" s="4" t="s">
        <v>8</v>
      </c>
      <c r="B24" s="4" t="s">
        <v>38</v>
      </c>
      <c r="C24" s="4" t="s">
        <v>39</v>
      </c>
      <c r="D24" s="4" t="s">
        <v>40</v>
      </c>
    </row>
    <row r="25" spans="1:4" x14ac:dyDescent="0.35">
      <c r="A25" s="4">
        <v>199</v>
      </c>
      <c r="B25" s="5">
        <v>1.1000000000000001</v>
      </c>
      <c r="C25" s="6">
        <f t="shared" si="0"/>
        <v>218.9</v>
      </c>
      <c r="D25" s="4">
        <v>219</v>
      </c>
    </row>
    <row r="26" spans="1:4" x14ac:dyDescent="0.35">
      <c r="A26" t="s">
        <v>3</v>
      </c>
      <c r="B26" s="1"/>
    </row>
    <row r="30" spans="1:4" x14ac:dyDescent="0.35">
      <c r="A30" s="3" t="s">
        <v>12</v>
      </c>
    </row>
    <row r="32" spans="1:4" x14ac:dyDescent="0.35">
      <c r="A32" t="s">
        <v>13</v>
      </c>
    </row>
    <row r="33" spans="1:1" x14ac:dyDescent="0.35">
      <c r="A33" t="s">
        <v>14</v>
      </c>
    </row>
    <row r="37" spans="1:1" x14ac:dyDescent="0.35">
      <c r="A37" s="3" t="s">
        <v>15</v>
      </c>
    </row>
    <row r="39" spans="1:1" x14ac:dyDescent="0.35">
      <c r="A39" t="s">
        <v>16</v>
      </c>
    </row>
    <row r="41" spans="1:1" x14ac:dyDescent="0.35">
      <c r="A41" t="s">
        <v>17</v>
      </c>
    </row>
    <row r="42" spans="1:1" x14ac:dyDescent="0.35">
      <c r="A42" t="s">
        <v>18</v>
      </c>
    </row>
    <row r="43" spans="1:1" x14ac:dyDescent="0.35">
      <c r="A43" t="s">
        <v>19</v>
      </c>
    </row>
    <row r="44" spans="1:1" x14ac:dyDescent="0.35">
      <c r="A44" t="s">
        <v>20</v>
      </c>
    </row>
    <row r="45" spans="1:1" x14ac:dyDescent="0.35">
      <c r="A45" t="s">
        <v>21</v>
      </c>
    </row>
    <row r="46" spans="1:1" x14ac:dyDescent="0.35">
      <c r="A46" t="s">
        <v>22</v>
      </c>
    </row>
    <row r="47" spans="1:1" x14ac:dyDescent="0.35">
      <c r="A47" t="s">
        <v>23</v>
      </c>
    </row>
    <row r="48" spans="1:1" x14ac:dyDescent="0.35">
      <c r="A48" t="s">
        <v>24</v>
      </c>
    </row>
    <row r="49" spans="1:1" x14ac:dyDescent="0.35">
      <c r="A49" t="s">
        <v>25</v>
      </c>
    </row>
    <row r="50" spans="1:1" x14ac:dyDescent="0.35">
      <c r="A50" t="s">
        <v>26</v>
      </c>
    </row>
    <row r="51" spans="1:1" x14ac:dyDescent="0.35">
      <c r="A51" t="s">
        <v>27</v>
      </c>
    </row>
    <row r="52" spans="1:1" x14ac:dyDescent="0.35">
      <c r="A52" t="s">
        <v>28</v>
      </c>
    </row>
    <row r="53" spans="1:1" x14ac:dyDescent="0.35">
      <c r="A53" t="s">
        <v>29</v>
      </c>
    </row>
    <row r="54" spans="1:1" x14ac:dyDescent="0.35">
      <c r="A54" t="s">
        <v>30</v>
      </c>
    </row>
    <row r="55" spans="1:1" x14ac:dyDescent="0.35">
      <c r="A55" t="s">
        <v>31</v>
      </c>
    </row>
    <row r="56" spans="1:1" x14ac:dyDescent="0.35">
      <c r="A56" t="s">
        <v>32</v>
      </c>
    </row>
    <row r="57" spans="1:1" x14ac:dyDescent="0.35">
      <c r="A57" t="s">
        <v>33</v>
      </c>
    </row>
    <row r="58" spans="1:1" x14ac:dyDescent="0.35">
      <c r="A58" t="s">
        <v>34</v>
      </c>
    </row>
    <row r="59" spans="1:1" x14ac:dyDescent="0.35">
      <c r="A59" t="s">
        <v>35</v>
      </c>
    </row>
    <row r="60" spans="1:1" x14ac:dyDescent="0.35">
      <c r="A60" t="s">
        <v>36</v>
      </c>
    </row>
    <row r="61" spans="1:1" x14ac:dyDescent="0.35">
      <c r="A61" t="s">
        <v>37</v>
      </c>
    </row>
    <row r="62" spans="1:1" x14ac:dyDescent="0.35">
      <c r="A62" t="s">
        <v>41</v>
      </c>
    </row>
    <row r="63" spans="1:1" x14ac:dyDescent="0.35">
      <c r="A63" t="s">
        <v>42</v>
      </c>
    </row>
    <row r="64" spans="1:1" x14ac:dyDescent="0.35">
      <c r="A64" t="s">
        <v>43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2026-02-11T21:44:21Z</dcterms:modified>
</cp:coreProperties>
</file>